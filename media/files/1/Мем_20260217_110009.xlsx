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8800" windowHeight="11835" activeTab="1"/>
  </bookViews>
  <sheets>
    <sheet name="Лист1" sheetId="1" r:id="rId1"/>
    <sheet name="Лист2" sheetId="2" r:id="rId2"/>
  </sheet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7" i="1" l="1"/>
  <c r="D26" i="1"/>
  <c r="D13" i="1" l="1"/>
  <c r="D11" i="1"/>
  <c r="C10" i="1"/>
  <c r="D7" i="1"/>
  <c r="M7" i="1"/>
  <c r="L7" i="1"/>
  <c r="K7" i="1"/>
  <c r="I6" i="1"/>
  <c r="H6" i="1"/>
  <c r="G6" i="1"/>
</calcChain>
</file>

<file path=xl/sharedStrings.xml><?xml version="1.0" encoding="utf-8"?>
<sst xmlns="http://schemas.openxmlformats.org/spreadsheetml/2006/main" count="40" uniqueCount="33">
  <si>
    <t>Практическая 4</t>
  </si>
  <si>
    <t>вариант 1</t>
  </si>
  <si>
    <t>Задача 1</t>
  </si>
  <si>
    <t>Детали</t>
  </si>
  <si>
    <t>Зарплата</t>
  </si>
  <si>
    <t>Количество</t>
  </si>
  <si>
    <t>План</t>
  </si>
  <si>
    <t>Факт</t>
  </si>
  <si>
    <t>Процент выполнения</t>
  </si>
  <si>
    <t>Количество сверх  нормы</t>
  </si>
  <si>
    <t>до 10</t>
  </si>
  <si>
    <t>больше 15</t>
  </si>
  <si>
    <t>по плану</t>
  </si>
  <si>
    <t>Расценка</t>
  </si>
  <si>
    <t>Прогрессивная</t>
  </si>
  <si>
    <t>10 проц- 15</t>
  </si>
  <si>
    <t>Задача 2</t>
  </si>
  <si>
    <t>Расценка сверх</t>
  </si>
  <si>
    <t>Увеличение зп</t>
  </si>
  <si>
    <t>Увеличение прибыли</t>
  </si>
  <si>
    <t>Ответ:</t>
  </si>
  <si>
    <t>Введение системы оправдано, т. К. Увелич прибыли больше увеличения затрат на зп</t>
  </si>
  <si>
    <t>Условия</t>
  </si>
  <si>
    <t>Оклад</t>
  </si>
  <si>
    <t>Отработал</t>
  </si>
  <si>
    <t>1 часть премии</t>
  </si>
  <si>
    <t>2 часть премии</t>
  </si>
  <si>
    <t>Перевыполнение</t>
  </si>
  <si>
    <t>Зп</t>
  </si>
  <si>
    <t>Зп с премией</t>
  </si>
  <si>
    <t>от оклада</t>
  </si>
  <si>
    <t>от плана</t>
  </si>
  <si>
    <t>от сверх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</si>
</sst>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7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353155</xdr:colOff>
      <xdr:row>39</xdr:row>
      <xdr:rowOff>29616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229955" cy="74591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workbookViewId="0">
      <selection activeCell="F26" sqref="F26"/>
    </sheetView>
  </sheetViews>
  <sheetFormatPr defaultRowHeight="15" x14ac:dyDescent="0.25"/>
  <cols>
    <col min="3" max="3" width="21.140625" bestFit="1" customWidth="1"/>
    <col min="6" max="6" width="21" bestFit="1" customWidth="1"/>
    <col min="9" max="9" width="10.5703125" bestFit="1" customWidth="1"/>
    <col min="12" max="12" width="11.140625" bestFit="1" customWidth="1"/>
    <col min="13" max="13" width="10.5703125" bestFit="1" customWidth="1"/>
  </cols>
  <sheetData>
    <row r="1" spans="1:13" x14ac:dyDescent="0.25">
      <c r="A1" t="s">
        <v>0</v>
      </c>
    </row>
    <row r="2" spans="1:13" x14ac:dyDescent="0.25">
      <c r="A2" t="s">
        <v>1</v>
      </c>
    </row>
    <row r="4" spans="1:13" x14ac:dyDescent="0.25">
      <c r="C4" t="s">
        <v>3</v>
      </c>
      <c r="D4" s="1" t="s">
        <v>5</v>
      </c>
      <c r="E4" s="1"/>
      <c r="F4" t="s">
        <v>8</v>
      </c>
      <c r="G4" s="1" t="s">
        <v>9</v>
      </c>
      <c r="H4" s="1"/>
      <c r="I4" s="1"/>
      <c r="J4" s="1" t="s">
        <v>13</v>
      </c>
      <c r="K4" s="1"/>
      <c r="L4" s="1"/>
      <c r="M4" s="1"/>
    </row>
    <row r="5" spans="1:13" x14ac:dyDescent="0.25">
      <c r="A5" t="s">
        <v>2</v>
      </c>
      <c r="D5" t="s">
        <v>6</v>
      </c>
      <c r="E5" t="s">
        <v>7</v>
      </c>
      <c r="G5" t="s">
        <v>10</v>
      </c>
      <c r="H5" s="2">
        <v>42278</v>
      </c>
      <c r="I5" t="s">
        <v>11</v>
      </c>
      <c r="J5" t="s">
        <v>12</v>
      </c>
      <c r="K5" s="1" t="s">
        <v>14</v>
      </c>
      <c r="L5" s="1"/>
      <c r="M5" s="1"/>
    </row>
    <row r="6" spans="1:13" x14ac:dyDescent="0.25">
      <c r="C6">
        <v>1</v>
      </c>
      <c r="D6">
        <v>10000</v>
      </c>
      <c r="E6">
        <v>12000</v>
      </c>
      <c r="F6">
        <v>120</v>
      </c>
      <c r="G6">
        <f>10*D6/100</f>
        <v>1000</v>
      </c>
      <c r="H6">
        <f>5*D6/100</f>
        <v>500</v>
      </c>
      <c r="I6">
        <f>5*D6/100</f>
        <v>500</v>
      </c>
      <c r="J6">
        <v>6.5</v>
      </c>
      <c r="K6" t="s">
        <v>10</v>
      </c>
      <c r="L6" s="2" t="s">
        <v>15</v>
      </c>
      <c r="M6" t="s">
        <v>11</v>
      </c>
    </row>
    <row r="7" spans="1:13" x14ac:dyDescent="0.25">
      <c r="C7" t="s">
        <v>4</v>
      </c>
      <c r="D7">
        <f>D6*J6+G6*K7+H6*L7+I6*M7</f>
        <v>81900</v>
      </c>
      <c r="K7">
        <f>J6*1.2</f>
        <v>7.8</v>
      </c>
      <c r="L7">
        <f>J6*1.3</f>
        <v>8.4500000000000011</v>
      </c>
      <c r="M7">
        <f>J6*1.5</f>
        <v>9.75</v>
      </c>
    </row>
    <row r="9" spans="1:13" x14ac:dyDescent="0.25">
      <c r="C9" t="s">
        <v>6</v>
      </c>
      <c r="D9" t="s">
        <v>7</v>
      </c>
      <c r="E9" t="s">
        <v>13</v>
      </c>
      <c r="F9" t="s">
        <v>17</v>
      </c>
    </row>
    <row r="10" spans="1:13" x14ac:dyDescent="0.25">
      <c r="C10">
        <f>D6</f>
        <v>10000</v>
      </c>
      <c r="D10">
        <v>11500</v>
      </c>
      <c r="E10">
        <v>6.5</v>
      </c>
      <c r="F10">
        <v>0.5</v>
      </c>
    </row>
    <row r="11" spans="1:13" x14ac:dyDescent="0.25">
      <c r="C11" t="s">
        <v>4</v>
      </c>
      <c r="D11">
        <f>D10*E10+(D10-C10)*F10</f>
        <v>75500</v>
      </c>
    </row>
    <row r="13" spans="1:13" x14ac:dyDescent="0.25">
      <c r="C13" t="s">
        <v>18</v>
      </c>
      <c r="D13">
        <f>D7-D11</f>
        <v>6400</v>
      </c>
    </row>
    <row r="14" spans="1:13" x14ac:dyDescent="0.25">
      <c r="C14" t="s">
        <v>19</v>
      </c>
      <c r="D14">
        <v>40000</v>
      </c>
    </row>
    <row r="16" spans="1:13" x14ac:dyDescent="0.25">
      <c r="B16" t="s">
        <v>20</v>
      </c>
      <c r="C16" t="s">
        <v>21</v>
      </c>
    </row>
    <row r="18" spans="1:5" x14ac:dyDescent="0.25">
      <c r="A18" t="s">
        <v>16</v>
      </c>
      <c r="B18" t="s">
        <v>22</v>
      </c>
      <c r="C18" t="s">
        <v>23</v>
      </c>
      <c r="D18">
        <v>80000</v>
      </c>
    </row>
    <row r="19" spans="1:5" x14ac:dyDescent="0.25">
      <c r="C19" t="s">
        <v>6</v>
      </c>
      <c r="D19">
        <v>23</v>
      </c>
    </row>
    <row r="20" spans="1:5" x14ac:dyDescent="0.25">
      <c r="C20" t="s">
        <v>24</v>
      </c>
      <c r="D20">
        <v>21</v>
      </c>
    </row>
    <row r="21" spans="1:5" x14ac:dyDescent="0.25">
      <c r="C21" t="s">
        <v>25</v>
      </c>
      <c r="D21">
        <v>10</v>
      </c>
      <c r="E21" t="s">
        <v>30</v>
      </c>
    </row>
    <row r="22" spans="1:5" x14ac:dyDescent="0.25">
      <c r="C22" t="s">
        <v>26</v>
      </c>
      <c r="D22">
        <v>5</v>
      </c>
      <c r="E22" t="s">
        <v>31</v>
      </c>
    </row>
    <row r="23" spans="1:5" x14ac:dyDescent="0.25">
      <c r="D23">
        <v>2</v>
      </c>
      <c r="E23" t="s">
        <v>32</v>
      </c>
    </row>
    <row r="24" spans="1:5" x14ac:dyDescent="0.25">
      <c r="C24" t="s">
        <v>27</v>
      </c>
      <c r="D24">
        <v>5</v>
      </c>
    </row>
    <row r="26" spans="1:5" x14ac:dyDescent="0.25">
      <c r="C26" t="s">
        <v>28</v>
      </c>
      <c r="D26">
        <f>D18/D19*D20</f>
        <v>73043.478260869568</v>
      </c>
    </row>
    <row r="27" spans="1:5" x14ac:dyDescent="0.25">
      <c r="C27" t="s">
        <v>29</v>
      </c>
      <c r="D27">
        <f>(D26/100*D21)+(D26/100*D22)+(D26/100*(D23*D24))+D26</f>
        <v>91304.34782608696</v>
      </c>
    </row>
  </sheetData>
  <mergeCells count="4">
    <mergeCell ref="D4:E4"/>
    <mergeCell ref="G4:I4"/>
    <mergeCell ref="K5:M5"/>
    <mergeCell ref="J4:M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J22" sqref="J22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2026-01-21T11:07:13Z</dcterms:created>
  <dcterms:modified xsi:type="dcterms:W3CDTF">2026-01-21T12:09:29Z</dcterms:modified>
</cp:coreProperties>
</file>